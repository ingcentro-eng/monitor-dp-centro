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9_{9C2281B8-30E8-4128-8CE6-A0E6D1803EA5}" xr6:coauthVersionLast="47" xr6:coauthVersionMax="47" xr10:uidLastSave="{00000000-0000-0000-0000-000000000000}"/>
  <bookViews>
    <workbookView xWindow="20370" yWindow="-120" windowWidth="29040" windowHeight="15720" activeTab="1" xr2:uid="{9F08AAAC-0C1D-4C0B-8A88-1ECC195C1AD8}"/>
  </bookViews>
  <sheets>
    <sheet name="Navegador de incidentes_02_10_2" sheetId="1" r:id="rId1"/>
    <sheet name="Hoja1" sheetId="2" r:id="rId2"/>
  </sheets>
  <externalReferences>
    <externalReference r:id="rId3"/>
  </externalReferences>
  <calcPr calcId="0"/>
  <pivotCaches>
    <pivotCache cacheId="25" r:id="rId4"/>
  </pivotCaches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  <c r="E16" i="1"/>
  <c r="E15" i="1"/>
  <c r="E14" i="1"/>
  <c r="E13" i="1"/>
  <c r="E12" i="1"/>
  <c r="E11" i="1"/>
  <c r="E10" i="1"/>
  <c r="E9" i="1"/>
  <c r="E8" i="1"/>
  <c r="E7" i="1"/>
</calcChain>
</file>

<file path=xl/sharedStrings.xml><?xml version="1.0" encoding="utf-8"?>
<sst xmlns="http://schemas.openxmlformats.org/spreadsheetml/2006/main" count="402" uniqueCount="202">
  <si>
    <t>Navegador de incidentesNavegador de incidentes-02/10/2026 06:50:45.272</t>
  </si>
  <si>
    <t>AND Instrucción contiene dp</t>
  </si>
  <si>
    <t>Y Subregión contiene tolima</t>
  </si>
  <si>
    <t>Y Sector contiene centro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</si>
  <si>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</si>
  <si>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</si>
  <si>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</si>
  <si>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</si>
  <si>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</si>
  <si>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</si>
  <si>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</si>
  <si>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</si>
  <si>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</si>
  <si>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</si>
  <si>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</si>
  <si>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</si>
  <si>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</si>
  <si>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</si>
  <si>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</si>
  <si>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</si>
  <si>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</si>
  <si>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</si>
  <si>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</si>
  <si>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</si>
  <si>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</si>
  <si>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</si>
  <si>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</si>
  <si>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</si>
  <si>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</si>
  <si>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</si>
  <si>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</si>
  <si>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</si>
  <si>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</si>
  <si>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</si>
  <si>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</si>
  <si>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</si>
  <si>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</si>
  <si>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</si>
  <si>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</si>
  <si>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</si>
  <si>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</si>
  <si>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</si>
  <si>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</si>
  <si>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</si>
  <si>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</si>
  <si>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</si>
  <si>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</si>
  <si>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</si>
  <si>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</si>
  <si>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</si>
  <si>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</si>
  <si>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</si>
  <si>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 BT</t>
  </si>
  <si>
    <t>INC 145558941</t>
  </si>
  <si>
    <t>66636380-A</t>
  </si>
  <si>
    <t>SALDAÑA 2 13.2 KV</t>
  </si>
  <si>
    <t>SALDAÑA</t>
  </si>
  <si>
    <t>Retenida reventada</t>
  </si>
  <si>
    <t>BOLM-310 (I-10); BOLV-304</t>
  </si>
  <si>
    <t>TOLIMA SUR</t>
  </si>
  <si>
    <t>DISTRIBUCION TOLIMA</t>
  </si>
  <si>
    <t>CELSIA - TOLIMA CENTRO</t>
  </si>
  <si>
    <t>CO-TOL-DI-CELSIA-TSUR-ORIENTE</t>
  </si>
  <si>
    <t>66634795A</t>
  </si>
  <si>
    <t>MT-No Programada Con Interrupción</t>
  </si>
  <si>
    <t>No</t>
  </si>
  <si>
    <t>Permanente</t>
  </si>
  <si>
    <t>Despachado</t>
  </si>
  <si>
    <t>Restaurado</t>
  </si>
  <si>
    <t>No Realizado; Finalizada</t>
  </si>
  <si>
    <t>L2</t>
  </si>
  <si>
    <t>23/09/2026 15:52:36.581</t>
  </si>
  <si>
    <t>Low</t>
  </si>
  <si>
    <t>(-8360473.8, 446823.3)</t>
  </si>
  <si>
    <t>Llamada</t>
  </si>
  <si>
    <t>01/10/2026 09:32:22.680</t>
  </si>
  <si>
    <t>Interruptor compuesto</t>
  </si>
  <si>
    <t>VDA LUISA GARCIA FCA CHAPARRO</t>
  </si>
  <si>
    <t>DISTRIBUCION</t>
  </si>
  <si>
    <t>Alimentador/Troncal MT</t>
  </si>
  <si>
    <t>INC 145560682</t>
  </si>
  <si>
    <t>SAC130413</t>
  </si>
  <si>
    <t>Poste averiado</t>
  </si>
  <si>
    <t>BOLM-310 (I-10); DP-CA-S-OrienteTolima</t>
  </si>
  <si>
    <t>MT-No Programada Sin Interrupción</t>
  </si>
  <si>
    <t>No hay interrupción</t>
  </si>
  <si>
    <t>No Realizado; Pendiente</t>
  </si>
  <si>
    <t>None</t>
  </si>
  <si>
    <t>24/09/2026 20:31:12.392</t>
  </si>
  <si>
    <t>(-8361038.6, 455663.0)</t>
  </si>
  <si>
    <t>Alimentador de clientes</t>
  </si>
  <si>
    <t>VDA CAMPOALEGRE FICA LA VEGA</t>
  </si>
  <si>
    <t>DP</t>
  </si>
  <si>
    <t>INC 146585203</t>
  </si>
  <si>
    <t>2226154-A</t>
  </si>
  <si>
    <t>VENADILLO 2 13.2 KV</t>
  </si>
  <si>
    <t>VENADILLO</t>
  </si>
  <si>
    <t>Transformador distribución averiado</t>
  </si>
  <si>
    <t>BOLM-321 (I-21); DP-CA-S-NorteTolima</t>
  </si>
  <si>
    <t>TOLIMA NORTE</t>
  </si>
  <si>
    <t>CO-TOL-DI-CELSIA-TNORTE-CENTRO</t>
  </si>
  <si>
    <t>S06323</t>
  </si>
  <si>
    <t>No Realizado; Cancelada</t>
  </si>
  <si>
    <t>09/09/2026 08:02:00.842</t>
  </si>
  <si>
    <t>(-8346878.6, 522004.3)</t>
  </si>
  <si>
    <t>01/10/2026 12:36:26.006</t>
  </si>
  <si>
    <t>VDA GUAMAL</t>
  </si>
  <si>
    <t>Transformador de Distribución MT</t>
  </si>
  <si>
    <t>INC 146594847</t>
  </si>
  <si>
    <t>SAC130628</t>
  </si>
  <si>
    <t>BOLM-310 (I-10); CUAD-305</t>
  </si>
  <si>
    <t>66601498A</t>
  </si>
  <si>
    <t>L1 L3</t>
  </si>
  <si>
    <t>21/09/2026 13:50:54.028</t>
  </si>
  <si>
    <t>Raised</t>
  </si>
  <si>
    <t>(-8363999.1, 448679.4)</t>
  </si>
  <si>
    <t>VDA SANTA LUCIA</t>
  </si>
  <si>
    <t>INC 146595711</t>
  </si>
  <si>
    <t>2250161A</t>
  </si>
  <si>
    <t>URBANO 13.2 KV</t>
  </si>
  <si>
    <t>ROVIRA</t>
  </si>
  <si>
    <t>BOLV-307; CUAD-306</t>
  </si>
  <si>
    <t>Sí</t>
  </si>
  <si>
    <t>No restablecido</t>
  </si>
  <si>
    <t>Finalizada; Pendiente</t>
  </si>
  <si>
    <t>L1 L2</t>
  </si>
  <si>
    <t>28/09/2026 19:10:17.180</t>
  </si>
  <si>
    <t>(-8382126.9, 473503.1)</t>
  </si>
  <si>
    <t>VEREDA LA LUISA SECTOR COLEGIO</t>
  </si>
  <si>
    <t>INC 146595782</t>
  </si>
  <si>
    <t>INC 145565157</t>
  </si>
  <si>
    <t>SAC262868</t>
  </si>
  <si>
    <t>PAYANDE 2 13.2 KV</t>
  </si>
  <si>
    <t>PAYANDE</t>
  </si>
  <si>
    <t>Falla en la red secundaria</t>
  </si>
  <si>
    <t>CUAD-304</t>
  </si>
  <si>
    <t>Pendiente</t>
  </si>
  <si>
    <t>L1</t>
  </si>
  <si>
    <t>28/09/2026 09:37:32.405</t>
  </si>
  <si>
    <t>(-8372038.8, 459269.3)</t>
  </si>
  <si>
    <t>CORE\rosorio</t>
  </si>
  <si>
    <t>01/10/2026 18:22:42.070</t>
  </si>
  <si>
    <t>VDA NEME</t>
  </si>
  <si>
    <t>INC 146596565</t>
  </si>
  <si>
    <t>1840002-A</t>
  </si>
  <si>
    <t>LA VEGA 13.2 KV</t>
  </si>
  <si>
    <t>CHAPETON</t>
  </si>
  <si>
    <t>Desconocida</t>
  </si>
  <si>
    <t>DP-CA-S-CentroTolima</t>
  </si>
  <si>
    <t>S02116</t>
  </si>
  <si>
    <t>Cancelada</t>
  </si>
  <si>
    <t>28/09/2026 11:34:53.475</t>
  </si>
  <si>
    <t>(-8378911.6, 495300.4)</t>
  </si>
  <si>
    <t>01/10/2026 07:14:41.612</t>
  </si>
  <si>
    <t>VEREDA SANTA TERESA FINCA EL BOSQUE</t>
  </si>
  <si>
    <t>INC 146596923</t>
  </si>
  <si>
    <t>66677567REPA</t>
  </si>
  <si>
    <t>CAJAMARCA 2 CT 2</t>
  </si>
  <si>
    <t>NUEVA CAJAMARCA</t>
  </si>
  <si>
    <t>Línea reventada</t>
  </si>
  <si>
    <t>BOLM-301 (I-1); DP-CA-S-CentroTolima</t>
  </si>
  <si>
    <t>30/09/2026 07:43:53.601</t>
  </si>
  <si>
    <t>(-8385458.0, 491788.9)</t>
  </si>
  <si>
    <t>PERICO PARTE ALTA FINCA MARIA SANTISIMA</t>
  </si>
  <si>
    <t>INC 146597473</t>
  </si>
  <si>
    <t>RB2104</t>
  </si>
  <si>
    <t>RURAL 13.2 KV</t>
  </si>
  <si>
    <t>BOLV-307; BOLM-308 (I-59); DP-CA-S-CentroTolima</t>
  </si>
  <si>
    <t>RC1146</t>
  </si>
  <si>
    <t>Finalizada; Cancelada; Pendiente</t>
  </si>
  <si>
    <t>L1 L2 L3</t>
  </si>
  <si>
    <t>29/09/2026 11:04:20.136</t>
  </si>
  <si>
    <t>(-8379347.2, 459238.7)</t>
  </si>
  <si>
    <t>Reconectador</t>
  </si>
  <si>
    <t>VDA CORAZON</t>
  </si>
  <si>
    <t>INC 146599415</t>
  </si>
  <si>
    <t>INC 146597484</t>
  </si>
  <si>
    <t>3457141-A</t>
  </si>
  <si>
    <t>SAN JORGE 5 13.2 KV</t>
  </si>
  <si>
    <t>SAN JORGE</t>
  </si>
  <si>
    <t>29/09/2026 10:23:17.934</t>
  </si>
  <si>
    <t>(-8381312.2, 484009.6)</t>
  </si>
  <si>
    <t>CORE\lmontoya</t>
  </si>
  <si>
    <t>VDA SAN ISIDRO</t>
  </si>
  <si>
    <t>Hora de creación</t>
  </si>
  <si>
    <t>CONTADOR DIAS</t>
  </si>
  <si>
    <t>ESTADO</t>
  </si>
  <si>
    <t>15:52:36.663</t>
  </si>
  <si>
    <t>20:33:08.577</t>
  </si>
  <si>
    <t>08:02:00.903</t>
  </si>
  <si>
    <t>13:50:54.107</t>
  </si>
  <si>
    <t>19:10:17.211</t>
  </si>
  <si>
    <t>21:15:18.227</t>
  </si>
  <si>
    <t>15:27:29.661</t>
  </si>
  <si>
    <t>07:43:53.651</t>
  </si>
  <si>
    <t>17:08:03.205</t>
  </si>
  <si>
    <t>20:13:37.290</t>
  </si>
  <si>
    <t>Etiquetas de fila</t>
  </si>
  <si>
    <t>Total general</t>
  </si>
  <si>
    <t>Etiquetas de columna</t>
  </si>
  <si>
    <t>NO APARECE</t>
  </si>
  <si>
    <t>Cuenta de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</si>
</sst>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PROGRAMACION%20DA&#209;OS%20PENDIENTE%2001102026.xlsx" TargetMode="External"/><Relationship Id="rId1" Type="http://schemas.openxmlformats.org/officeDocument/2006/relationships/externalLinkPath" Target="PROGRAMACION%20DA&#209;OS%20PENDIENTE%20011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vegador de incidentes"/>
      <sheetName val="Hoja5"/>
      <sheetName val="Hoja4"/>
      <sheetName val="Hoja3"/>
      <sheetName val="Hoja2"/>
      <sheetName val="Hoja1"/>
    </sheetNames>
    <sheetDataSet>
      <sheetData sheetId="0">
        <row r="3">
          <cell r="C3" t="str">
            <v>Identificación</v>
          </cell>
          <cell r="N3" t="str">
            <v>OBSERVACION</v>
          </cell>
        </row>
        <row r="4">
          <cell r="C4" t="str">
            <v>INC 146595782</v>
          </cell>
          <cell r="N4" t="str">
            <v>EN PROGRAMACION</v>
          </cell>
        </row>
        <row r="5">
          <cell r="C5" t="str">
            <v>INC 146595711</v>
          </cell>
          <cell r="N5" t="str">
            <v xml:space="preserve">EJECUCION </v>
          </cell>
        </row>
        <row r="6">
          <cell r="C6" t="str">
            <v>INC 146596923</v>
          </cell>
          <cell r="N6" t="str">
            <v>EN PROGRAMACION</v>
          </cell>
        </row>
        <row r="7">
          <cell r="C7" t="str">
            <v>INC 146597473</v>
          </cell>
          <cell r="N7" t="str">
            <v xml:space="preserve">EJECUCION </v>
          </cell>
        </row>
        <row r="8">
          <cell r="C8" t="str">
            <v>INC 146599415</v>
          </cell>
          <cell r="N8" t="str">
            <v>EN PROGRAMACION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97.314496643521" createdVersion="8" refreshedVersion="8" minRefreshableVersion="3" recordCount="10" xr:uid="{D95C81D1-387F-46C2-BFBD-04E76B0C6245}">
  <cacheSource type="worksheet">
    <worksheetSource ref="A6:AY16" sheet="Navegador de incidentes_02_10_2"/>
  </cacheSource>
  <cacheFields count="51">
    <cacheField name="#" numFmtId="0">
      <sharedItems containsSemiMixedTypes="0" containsString="0" containsNumber="1" containsInteger="1" minValue="1" maxValue="10"/>
    </cacheField>
    <cacheField name="Instrucción" numFmtId="0">
      <sharedItems/>
    </cacheField>
    <cacheField name="Fecha de creación" numFmtId="14">
      <sharedItems containsSemiMixedTypes="0" containsNonDate="0" containsDate="1" containsString="0" minDate="2026-09-09T00:00:00" maxDate="2026-10-02T00:00:00"/>
    </cacheField>
    <cacheField name="Hora de creación" numFmtId="0">
      <sharedItems/>
    </cacheField>
    <cacheField name="CONTADOR DIAS" numFmtId="0">
      <sharedItems containsSemiMixedTypes="0" containsString="0" containsNumber="1" containsInteger="1" minValue="1" maxValue="23" count="8">
        <n v="9"/>
        <n v="8"/>
        <n v="23"/>
        <n v="11"/>
        <n v="4"/>
        <n v="3"/>
        <n v="2"/>
        <n v="1"/>
      </sharedItems>
    </cacheField>
    <cacheField name="ESTADO" numFmtId="0">
      <sharedItems count="3">
        <s v="NO APARECE"/>
        <s v="EJECUCION "/>
        <s v="EN PROGRAMACION"/>
      </sharedItems>
    </cacheField>
    <cacheField name="Identificación" numFmtId="0">
      <sharedItems count="10">
        <s v="INC 145558941"/>
        <s v="INC 145560682"/>
        <s v="INC 146585203"/>
        <s v="INC 146594847"/>
        <s v="INC 146595711"/>
        <s v="INC 146595782"/>
        <s v="INC 146596565"/>
        <s v="INC 146596923"/>
        <s v="INC 146597473"/>
        <s v="INC 146599415"/>
      </sharedItems>
    </cacheField>
    <cacheField name="ID del Padre" numFmtId="0">
      <sharedItems containsBlank="1"/>
    </cacheField>
    <cacheField name="Dispositivo" numFmtId="0">
      <sharedItems/>
    </cacheField>
    <cacheField name="Circuito normal" numFmtId="0">
      <sharedItems/>
    </cacheField>
    <cacheField name="Subestación" numFmtId="0">
      <sharedItems count="7">
        <s v="SALDAÑA"/>
        <s v="VENADILLO"/>
        <s v="ROVIRA"/>
        <s v="PAYANDE"/>
        <s v="CHAPETON"/>
        <s v="NUEVA CAJAMARCA"/>
        <s v="SAN JORGE"/>
      </sharedItems>
    </cacheField>
    <cacheField name="Causa" numFmtId="0">
      <sharedItems/>
    </cacheField>
    <cacheField name="Cuadrillas" numFmtId="0">
      <sharedItems/>
    </cacheField>
    <cacheField name="Clientes no restaurados" numFmtId="0">
      <sharedItems containsSemiMixedTypes="0" containsString="0" containsNumber="1" containsInteger="1" minValue="0" maxValue="354"/>
    </cacheField>
    <cacheField name="Críticos no restaurados." numFmtId="0">
      <sharedItems containsSemiMixedTypes="0" containsString="0" containsNumber="1" containsInteger="1" minValue="0" maxValue="13"/>
    </cacheField>
    <cacheField name="Llamadas" numFmtId="0">
      <sharedItems containsSemiMixedTypes="0" containsString="0" containsNumber="1" containsInteger="1" minValue="0" maxValue="20"/>
    </cacheField>
    <cacheField name="Subregión" numFmtId="0">
      <sharedItems/>
    </cacheField>
    <cacheField name="Región" numFmtId="0">
      <sharedItems/>
    </cacheField>
    <cacheField name="Sector" numFmtId="0">
      <sharedItems/>
    </cacheField>
    <cacheField name="Grupo AOR" numFmtId="0">
      <sharedItems/>
    </cacheField>
    <cacheField name="Dispositivo aguas arriba" numFmtId="0">
      <sharedItems containsBlank="1"/>
    </cacheField>
    <cacheField name="Usuario asignado" numFmtId="0">
      <sharedItems containsNonDate="0" containsString="0" containsBlank="1"/>
    </cacheField>
    <cacheField name="Circuito actual" numFmtId="0">
      <sharedItems containsBlank="1"/>
    </cacheField>
    <cacheField name="Tipo" numFmtId="0">
      <sharedItems/>
    </cacheField>
    <cacheField name="Prioridad" numFmtId="0">
      <sharedItems containsSemiMixedTypes="0" containsString="0" containsNumber="1" containsInteger="1" minValue="1" maxValue="2"/>
    </cacheField>
    <cacheField name="Está anidado" numFmtId="0">
      <sharedItems/>
    </cacheField>
    <cacheField name="Carácter" numFmtId="0">
      <sharedItems/>
    </cacheField>
    <cacheField name="Problema" numFmtId="0">
      <sharedItems containsNonDate="0" containsString="0" containsBlank="1"/>
    </cacheField>
    <cacheField name="Confirmado" numFmtId="0">
      <sharedItems/>
    </cacheField>
    <cacheField name="Estado2" numFmtId="0">
      <sharedItems/>
    </cacheField>
    <cacheField name="Estado de energía" numFmtId="0">
      <sharedItems/>
    </cacheField>
    <cacheField name="Tensión [kV]" numFmtId="0">
      <sharedItems containsSemiMixedTypes="0" containsString="0" containsNumber="1" containsInteger="1" minValue="0" maxValue="0"/>
    </cacheField>
    <cacheField name="Estado de cuadrilla" numFmtId="0">
      <sharedItems/>
    </cacheField>
    <cacheField name="Fases afectadas" numFmtId="0">
      <sharedItems/>
    </cacheField>
    <cacheField name="Fecha de interrupción" numFmtId="0">
      <sharedItems/>
    </cacheField>
    <cacheField name="Afectados" numFmtId="0">
      <sharedItems containsSemiMixedTypes="0" containsString="0" containsNumber="1" containsInteger="1" minValue="1" maxValue="354"/>
    </cacheField>
    <cacheField name="Afectados críticos" numFmtId="0">
      <sharedItems containsSemiMixedTypes="0" containsString="0" containsNumber="1" containsInteger="1" minValue="0" maxValue="13"/>
    </cacheField>
    <cacheField name="Prioridad del suscriptor" numFmtId="0">
      <sharedItems/>
    </cacheField>
    <cacheField name="Transformadores de servicio" numFmtId="0">
      <sharedItems containsSemiMixedTypes="0" containsString="0" containsNumber="1" containsInteger="1" minValue="0" maxValue="42"/>
    </cacheField>
    <cacheField name="Restauración verificada" numFmtId="0">
      <sharedItems containsSemiMixedTypes="0" containsString="0" containsNumber="1" containsInteger="1" minValue="0" maxValue="0"/>
    </cacheField>
    <cacheField name="Localización del incidente" numFmtId="0">
      <sharedItems/>
    </cacheField>
    <cacheField name="Eventos de medidor inteligente" numFmtId="0">
      <sharedItems containsSemiMixedTypes="0" containsString="0" containsNumber="1" containsInteger="1" minValue="0" maxValue="0"/>
    </cacheField>
    <cacheField name="Creado por" numFmtId="0">
      <sharedItems/>
    </cacheField>
    <cacheField name="Hora de restauración real" numFmtId="0">
      <sharedItems containsBlank="1"/>
    </cacheField>
    <cacheField name="Tipo de dispositivo" numFmtId="0">
      <sharedItems/>
    </cacheField>
    <cacheField name="Dirección del dispositivo" numFmtId="0">
      <sharedItems/>
    </cacheField>
    <cacheField name="Adjuntos" numFmtId="0">
      <sharedItems/>
    </cacheField>
    <cacheField name="Tiene enlaces" numFmtId="0">
      <sharedItems/>
    </cacheField>
    <cacheField name="Negocio" numFmtId="0">
      <sharedItems/>
    </cacheField>
    <cacheField name="Subtipo" numFmtId="0">
      <sharedItems/>
    </cacheField>
    <cacheField name="Esta anidado/acoplad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DP BT"/>
    <d v="2026-09-23T00:00:00"/>
    <s v="15:52:36.663"/>
    <x v="0"/>
    <x v="0"/>
    <x v="0"/>
    <m/>
    <s v="66636380-A"/>
    <s v="SALDAÑA 2 13.2 KV"/>
    <x v="0"/>
    <s v="Retenida reventada"/>
    <s v="BOLM-310 (I-10); BOLV-304"/>
    <n v="0"/>
    <n v="0"/>
    <n v="1"/>
    <s v="TOLIMA SUR"/>
    <s v="DISTRIBUCION TOLIMA"/>
    <s v="CELSIA - TOLIMA CENTRO"/>
    <s v="CO-TOL-DI-CELSIA-TSUR-ORIENTE"/>
    <s v="66634795A"/>
    <m/>
    <m/>
    <s v="MT-No Programada Con Interrupción"/>
    <n v="1"/>
    <s v="No"/>
    <s v="Permanente"/>
    <m/>
    <s v="No"/>
    <s v="Despachado"/>
    <s v="Restaurado"/>
    <n v="0"/>
    <s v="No Realizado; Finalizada"/>
    <s v="L2"/>
    <s v="23/09/2026 15:52:36.581"/>
    <n v="34"/>
    <n v="0"/>
    <s v="Low"/>
    <n v="1"/>
    <n v="0"/>
    <s v="(-8360473.8, 446823.3)"/>
    <n v="0"/>
    <s v="Llamada"/>
    <s v="01/10/2026 09:32:22.680"/>
    <s v="Interruptor compuesto"/>
    <s v="VDA LUISA GARCIA FCA CHAPARRO"/>
    <s v="No"/>
    <s v="No"/>
    <s v="DISTRIBUCION"/>
    <s v="Alimentador/Troncal MT"/>
    <s v="No"/>
  </r>
  <r>
    <n v="2"/>
    <s v="DP BT"/>
    <d v="2026-09-24T00:00:00"/>
    <s v="20:33:08.577"/>
    <x v="1"/>
    <x v="0"/>
    <x v="1"/>
    <m/>
    <s v="SAC130413"/>
    <s v="SALDAÑA 2 13.2 KV"/>
    <x v="0"/>
    <s v="Poste averiado"/>
    <s v="BOLM-310 (I-10); DP-CA-S-OrienteTolima"/>
    <n v="0"/>
    <n v="0"/>
    <n v="1"/>
    <s v="TOLIMA SUR"/>
    <s v="DISTRIBUCION TOLIMA"/>
    <s v="CELSIA - TOLIMA CENTRO"/>
    <s v="CO-TOL-DI-CELSIA-TSUR-ORIENTE"/>
    <m/>
    <m/>
    <m/>
    <s v="MT-No Programada Sin Interrupción"/>
    <n v="1"/>
    <s v="No"/>
    <s v="Permanente"/>
    <m/>
    <s v="No"/>
    <s v="Despachado"/>
    <s v="No hay interrupción"/>
    <n v="0"/>
    <s v="No Realizado; Pendiente"/>
    <s v="None"/>
    <s v="24/09/2026 20:31:12.392"/>
    <n v="1"/>
    <n v="0"/>
    <s v="Low"/>
    <n v="0"/>
    <n v="0"/>
    <s v="(-8361038.6, 455663.0)"/>
    <n v="0"/>
    <s v="Llamada"/>
    <m/>
    <s v="Alimentador de clientes"/>
    <s v="VDA CAMPOALEGRE FICA LA VEGA"/>
    <s v="No"/>
    <s v="No"/>
    <s v="DISTRIBUCION"/>
    <s v="Alimentador/Troncal MT"/>
    <s v="No"/>
  </r>
  <r>
    <n v="3"/>
    <s v="DP"/>
    <d v="2026-09-09T00:00:00"/>
    <s v="08:02:00.903"/>
    <x v="2"/>
    <x v="0"/>
    <x v="2"/>
    <m/>
    <s v="2226154-A"/>
    <s v="VENADILLO 2 13.2 KV"/>
    <x v="1"/>
    <s v="Transformador distribución averiado"/>
    <s v="BOLM-321 (I-21); DP-CA-S-NorteTolima"/>
    <n v="0"/>
    <n v="0"/>
    <n v="1"/>
    <s v="TOLIMA NORTE"/>
    <s v="DISTRIBUCION TOLIMA"/>
    <s v="CELSIA - TOLIMA CENTRO"/>
    <s v="CO-TOL-DI-CELSIA-TNORTE-CENTRO"/>
    <s v="S06323"/>
    <m/>
    <s v="VENADILLO 2 13.2 KV"/>
    <s v="MT-No Programada Con Interrupción"/>
    <n v="1"/>
    <s v="No"/>
    <s v="Permanente"/>
    <m/>
    <s v="No"/>
    <s v="Despachado"/>
    <s v="Restaurado"/>
    <n v="0"/>
    <s v="No Realizado; Cancelada"/>
    <s v="L2"/>
    <s v="09/09/2026 08:02:00.842"/>
    <n v="5"/>
    <n v="0"/>
    <s v="Low"/>
    <n v="1"/>
    <n v="0"/>
    <s v="(-8346878.6, 522004.3)"/>
    <n v="0"/>
    <s v="Llamada"/>
    <s v="01/10/2026 12:36:26.006"/>
    <s v="Interruptor compuesto"/>
    <s v="VDA GUAMAL"/>
    <s v="No"/>
    <s v="No"/>
    <s v="DISTRIBUCION"/>
    <s v="Transformador de Distribución MT"/>
    <s v="No"/>
  </r>
  <r>
    <n v="4"/>
    <s v="DP BT"/>
    <d v="2026-09-21T00:00:00"/>
    <s v="13:50:54.107"/>
    <x v="3"/>
    <x v="0"/>
    <x v="3"/>
    <m/>
    <s v="SAC130628"/>
    <s v="SALDAÑA 2 13.2 KV"/>
    <x v="0"/>
    <s v="Poste averiado"/>
    <s v="BOLM-310 (I-10); CUAD-305"/>
    <n v="0"/>
    <n v="0"/>
    <n v="1"/>
    <s v="TOLIMA SUR"/>
    <s v="DISTRIBUCION TOLIMA"/>
    <s v="CELSIA - TOLIMA CENTRO"/>
    <s v="CO-TOL-DI-CELSIA-TSUR-ORIENTE"/>
    <s v="66601498A"/>
    <m/>
    <m/>
    <s v="MT-No Programada Con Interrupción"/>
    <n v="1"/>
    <s v="No"/>
    <s v="Permanente"/>
    <m/>
    <s v="No"/>
    <s v="Despachado"/>
    <s v="Restaurado"/>
    <n v="0"/>
    <s v="No Realizado; Finalizada"/>
    <s v="L1 L3"/>
    <s v="21/09/2026 13:50:54.028"/>
    <n v="1"/>
    <n v="1"/>
    <s v="Raised"/>
    <n v="0"/>
    <n v="0"/>
    <s v="(-8363999.1, 448679.4)"/>
    <n v="0"/>
    <s v="Llamada"/>
    <s v="01/10/2026 09:32:22.680"/>
    <s v="Alimentador de clientes"/>
    <s v="VDA SANTA LUCIA"/>
    <s v="No"/>
    <s v="No"/>
    <s v="DISTRIBUCION"/>
    <s v="Alimentador/Troncal MT"/>
    <s v="No"/>
  </r>
  <r>
    <n v="5"/>
    <s v="DP"/>
    <d v="2026-09-28T00:00:00"/>
    <s v="19:10:17.211"/>
    <x v="4"/>
    <x v="1"/>
    <x v="4"/>
    <m/>
    <s v="2250161A"/>
    <s v="URBANO 13.2 KV"/>
    <x v="2"/>
    <s v="Transformador distribución averiado"/>
    <s v="BOLV-307; CUAD-306"/>
    <n v="54"/>
    <n v="3"/>
    <n v="4"/>
    <s v="TOLIMA NORTE"/>
    <s v="DISTRIBUCION TOLIMA"/>
    <s v="CELSIA - TOLIMA CENTRO"/>
    <s v="CO-TOL-DI-CELSIA-TNORTE-CENTRO"/>
    <s v="2250161A"/>
    <m/>
    <s v="URBANO 13.2 KV"/>
    <s v="MT-No Programada Con Interrupción"/>
    <n v="1"/>
    <s v="No"/>
    <s v="Permanente"/>
    <m/>
    <s v="Sí"/>
    <s v="Despachado"/>
    <s v="No restablecido"/>
    <n v="0"/>
    <s v="Finalizada; Pendiente"/>
    <s v="L1 L2"/>
    <s v="28/09/2026 19:10:17.180"/>
    <n v="54"/>
    <n v="3"/>
    <s v="Raised"/>
    <n v="1"/>
    <n v="0"/>
    <s v="(-8382126.9, 473503.1)"/>
    <n v="0"/>
    <s v="Llamada"/>
    <m/>
    <s v="Interruptor compuesto"/>
    <s v="VEREDA LA LUISA SECTOR COLEGIO"/>
    <s v="No"/>
    <s v="No"/>
    <s v="DISTRIBUCION"/>
    <s v="Alimentador/Troncal MT"/>
    <s v="No"/>
  </r>
  <r>
    <n v="6"/>
    <s v="DP"/>
    <d v="2026-09-28T00:00:00"/>
    <s v="21:15:18.227"/>
    <x v="4"/>
    <x v="2"/>
    <x v="5"/>
    <s v="INC 145565157"/>
    <s v="SAC262868"/>
    <s v="PAYANDE 2 13.2 KV"/>
    <x v="3"/>
    <s v="Falla en la red secundaria"/>
    <s v="CUAD-304"/>
    <n v="0"/>
    <n v="0"/>
    <n v="1"/>
    <s v="TOLIMA NORTE"/>
    <s v="DISTRIBUCION TOLIMA"/>
    <s v="CELSIA - TOLIMA CENTRO"/>
    <s v="CO-TOL-DI-CELSIA-TNORTE-CENTRO"/>
    <m/>
    <m/>
    <s v="PAYANDE 2 13.2 KV"/>
    <s v="MT-No Programada Con Interrupción"/>
    <n v="1"/>
    <s v="No"/>
    <s v="Permanente"/>
    <m/>
    <s v="No"/>
    <s v="Despachado"/>
    <s v="Restaurado"/>
    <n v="0"/>
    <s v="Pendiente"/>
    <s v="L1"/>
    <s v="28/09/2026 09:37:32.405"/>
    <n v="1"/>
    <n v="0"/>
    <s v="Low"/>
    <n v="0"/>
    <n v="0"/>
    <s v="(-8372038.8, 459269.3)"/>
    <n v="0"/>
    <s v="CORE\rosorio"/>
    <s v="01/10/2026 18:22:42.070"/>
    <s v="Alimentador de clientes"/>
    <s v="VDA NEME"/>
    <s v="No"/>
    <s v="No"/>
    <s v="DISTRIBUCION"/>
    <s v="Alimentador/Troncal MT"/>
    <s v="No"/>
  </r>
  <r>
    <n v="7"/>
    <s v="DP BT"/>
    <d v="2026-09-29T00:00:00"/>
    <s v="15:27:29.661"/>
    <x v="5"/>
    <x v="0"/>
    <x v="6"/>
    <m/>
    <s v="1840002-A"/>
    <s v="LA VEGA 13.2 KV"/>
    <x v="4"/>
    <s v="Desconocida"/>
    <s v="DP-CA-S-CentroTolima"/>
    <n v="0"/>
    <n v="0"/>
    <n v="20"/>
    <s v="TOLIMA NORTE"/>
    <s v="DISTRIBUCION TOLIMA"/>
    <s v="CELSIA - TOLIMA CENTRO"/>
    <s v="CO-TOL-DI-CELSIA-TNORTE-CENTRO"/>
    <s v="S02116"/>
    <m/>
    <s v="LA VEGA 13.2 KV"/>
    <s v="MT-No Programada Con Interrupción"/>
    <n v="1"/>
    <s v="No"/>
    <s v="Permanente"/>
    <m/>
    <s v="No"/>
    <s v="Despachado"/>
    <s v="Restaurado"/>
    <n v="0"/>
    <s v="Cancelada"/>
    <s v="L1"/>
    <s v="28/09/2026 11:34:53.475"/>
    <n v="26"/>
    <n v="0"/>
    <s v="Low"/>
    <n v="1"/>
    <n v="0"/>
    <s v="(-8378911.6, 495300.4)"/>
    <n v="0"/>
    <s v="Llamada"/>
    <s v="01/10/2026 07:14:41.612"/>
    <s v="Interruptor compuesto"/>
    <s v="VEREDA SANTA TERESA FINCA EL BOSQUE"/>
    <s v="No"/>
    <s v="No"/>
    <s v="DISTRIBUCION"/>
    <s v="Alimentador/Troncal MT"/>
    <s v="No"/>
  </r>
  <r>
    <n v="8"/>
    <s v="DP"/>
    <d v="2026-09-30T00:00:00"/>
    <s v="07:43:53.651"/>
    <x v="6"/>
    <x v="2"/>
    <x v="7"/>
    <m/>
    <s v="66677567REPA"/>
    <s v="CAJAMARCA 2 CT 2"/>
    <x v="5"/>
    <s v="Línea reventada"/>
    <s v="BOLM-301 (I-1); DP-CA-S-CentroTolima"/>
    <n v="16"/>
    <n v="0"/>
    <n v="6"/>
    <s v="TOLIMA NORTE"/>
    <s v="DISTRIBUCION TOLIMA"/>
    <s v="CELSIA - TOLIMA CENTRO"/>
    <s v="CO-TOL-DI-CELSIA-TNORTE-CENTRO"/>
    <m/>
    <m/>
    <s v="CAJAMARCA 2 CT 2"/>
    <s v="MT-No Programada Con Interrupción"/>
    <n v="1"/>
    <s v="No"/>
    <s v="Permanente"/>
    <m/>
    <s v="Sí"/>
    <s v="Despachado"/>
    <s v="No restablecido"/>
    <n v="0"/>
    <s v="Finalizada; Pendiente"/>
    <s v="L1 L2"/>
    <s v="30/09/2026 07:43:53.601"/>
    <n v="16"/>
    <n v="0"/>
    <s v="Low"/>
    <n v="1"/>
    <n v="0"/>
    <s v="(-8385458.0, 491788.9)"/>
    <n v="0"/>
    <s v="Llamada"/>
    <m/>
    <s v="Interruptor compuesto"/>
    <s v="PERICO PARTE ALTA FINCA MARIA SANTISIMA"/>
    <s v="No"/>
    <s v="No"/>
    <s v="DISTRIBUCION"/>
    <s v="Alimentador/Troncal MT"/>
    <s v="No"/>
  </r>
  <r>
    <n v="9"/>
    <s v="DP"/>
    <d v="2026-09-30T00:00:00"/>
    <s v="17:08:03.205"/>
    <x v="6"/>
    <x v="1"/>
    <x v="8"/>
    <m/>
    <s v="RB2104"/>
    <s v="RURAL 13.2 KV"/>
    <x v="2"/>
    <s v="Línea reventada"/>
    <s v="BOLV-307; BOLM-308 (I-59); DP-CA-S-CentroTolima"/>
    <n v="354"/>
    <n v="13"/>
    <n v="10"/>
    <s v="TOLIMA NORTE"/>
    <s v="DISTRIBUCION TOLIMA"/>
    <s v="CELSIA - TOLIMA CENTRO"/>
    <s v="CO-TOL-DI-CELSIA-TNORTE-CENTRO"/>
    <s v="RC1146"/>
    <m/>
    <s v="RURAL 13.2 KV"/>
    <s v="MT-No Programada Con Interrupción"/>
    <n v="1"/>
    <s v="No"/>
    <s v="Permanente"/>
    <m/>
    <s v="Sí"/>
    <s v="Despachado"/>
    <s v="No restablecido"/>
    <n v="0"/>
    <s v="Finalizada; Cancelada; Pendiente"/>
    <s v="L1 L2 L3"/>
    <s v="29/09/2026 11:04:20.136"/>
    <n v="354"/>
    <n v="13"/>
    <s v="Raised"/>
    <n v="42"/>
    <n v="0"/>
    <s v="(-8379347.2, 459238.7)"/>
    <n v="0"/>
    <s v="Llamada"/>
    <m/>
    <s v="Reconectador"/>
    <s v="VDA CORAZON"/>
    <s v="No"/>
    <s v="No"/>
    <s v="DISTRIBUCION"/>
    <s v="Alimentador/Troncal MT"/>
    <s v="No"/>
  </r>
  <r>
    <n v="10"/>
    <s v="DP"/>
    <d v="2026-10-01T00:00:00"/>
    <s v="20:13:37.290"/>
    <x v="7"/>
    <x v="2"/>
    <x v="9"/>
    <s v="INC 146597484"/>
    <s v="3457141-A"/>
    <s v="SAN JORGE 5 13.2 KV"/>
    <x v="6"/>
    <s v="Transformador distribución averiado"/>
    <s v="DP-CA-S-CentroTolima"/>
    <n v="3"/>
    <n v="0"/>
    <n v="0"/>
    <s v="TOLIMA NORTE"/>
    <s v="DISTRIBUCION TOLIMA"/>
    <s v="CELSIA - TOLIMA CENTRO"/>
    <s v="CO-TOL-DI-CELSIA-TNORTE-CENTRO"/>
    <s v="3457141-A"/>
    <m/>
    <s v="SAN JORGE 5 13.2 KV"/>
    <s v="MT-No Programada Con Interrupción"/>
    <n v="2"/>
    <s v="No"/>
    <s v="Permanente"/>
    <m/>
    <s v="Sí"/>
    <s v="Despachado"/>
    <s v="No restablecido"/>
    <n v="0"/>
    <s v="Pendiente"/>
    <s v="L1 L2"/>
    <s v="29/09/2026 10:23:17.934"/>
    <n v="3"/>
    <n v="0"/>
    <s v="Low"/>
    <n v="1"/>
    <n v="0"/>
    <s v="(-8381312.2, 484009.6)"/>
    <n v="0"/>
    <s v="CORE\lmontoya"/>
    <m/>
    <s v="Interruptor compuesto"/>
    <s v="VDA SAN ISIDRO"/>
    <s v="No"/>
    <s v="No"/>
    <s v="DISTRIBUCION"/>
    <s v="Alimentador/Troncal MT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502B9-1F92-48D0-B8C8-384A77126EFB}" name="TablaDinámica2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F9" firstHeaderRow="1" firstDataRow="2" firstDataCol="3"/>
  <pivotFields count="51">
    <pivotField showAll="0"/>
    <pivotField showAll="0"/>
    <pivotField numFmtId="14" showAll="0"/>
    <pivotField showAll="0"/>
    <pivotField axis="axisRow" showAll="0">
      <items count="9">
        <item x="7"/>
        <item x="6"/>
        <item x="5"/>
        <item x="4"/>
        <item x="1"/>
        <item x="0"/>
        <item x="3"/>
        <item x="2"/>
        <item t="default"/>
      </items>
    </pivotField>
    <pivotField axis="axisCol" dataField="1" showAll="0">
      <items count="4">
        <item h="1" x="1"/>
        <item h="1" x="2"/>
        <item x="0"/>
        <item t="default"/>
      </items>
    </pivotField>
    <pivotField axis="axisRow" compact="0" outline="0" subtotalTop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/>
    <pivotField showAll="0"/>
    <pivotField showAll="0"/>
    <pivotField axis="axisRow" compact="0" outline="0" subtotalTop="0" showAll="0" defaultSubtotal="0">
      <items count="7">
        <item x="4"/>
        <item x="5"/>
        <item x="3"/>
        <item x="2"/>
        <item x="0"/>
        <item x="6"/>
        <item x="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0"/>
    <field x="6"/>
    <field x="4"/>
  </rowFields>
  <rowItems count="6">
    <i>
      <x/>
      <x v="6"/>
      <x v="2"/>
    </i>
    <i>
      <x v="4"/>
      <x/>
      <x v="5"/>
    </i>
    <i r="1">
      <x v="1"/>
      <x v="4"/>
    </i>
    <i r="1">
      <x v="3"/>
      <x v="6"/>
    </i>
    <i>
      <x v="6"/>
      <x v="2"/>
      <x v="7"/>
    </i>
    <i t="grand">
      <x/>
    </i>
  </rowItems>
  <colFields count="1">
    <field x="5"/>
  </colFields>
  <colItems count="2">
    <i>
      <x v="2"/>
    </i>
    <i t="grand">
      <x/>
    </i>
  </colItems>
  <dataFields count="1">
    <dataField name="Cuenta de ESTAD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CC49-4C3B-436B-857F-45F46B6D5B57}">
  <dimension ref="A1:AY16"/>
  <sheetViews>
    <sheetView topLeftCell="AC1" workbookViewId="0">
      <selection activeCell="F13" sqref="F13"/>
    </sheetView>
  </sheetViews>
  <sheetFormatPr baseColWidth="10" defaultRowHeight="15" x14ac:dyDescent="0.25"/>
  <cols>
    <col min="6" max="6" width="19" bestFit="1" customWidth="1"/>
  </cols>
  <sheetData>
    <row r="1" spans="1:51" x14ac:dyDescent="0.25">
      <c r="A1" t="s">
        <v>0</v>
      </c>
    </row>
    <row r="2" spans="1:51" x14ac:dyDescent="0.25">
      <c r="A2" t="s">
        <v>1</v>
      </c>
    </row>
    <row r="3" spans="1:51" x14ac:dyDescent="0.25">
      <c r="A3" t="s">
        <v>2</v>
      </c>
    </row>
    <row r="4" spans="1:51" x14ac:dyDescent="0.25">
      <c r="A4" t="s">
        <v>3</v>
      </c>
    </row>
    <row r="5" spans="1:51" x14ac:dyDescent="0.25">
      <c r="G5" s="1">
        <v>46297</v>
      </c>
    </row>
    <row r="6" spans="1:51" x14ac:dyDescent="0.25">
      <c r="A6" t="s">
        <v>4</v>
      </c>
      <c r="B6" t="s">
        <v>5</v>
      </c>
      <c r="C6" t="s">
        <v>6</v>
      </c>
      <c r="D6" t="s">
        <v>184</v>
      </c>
      <c r="E6" t="s">
        <v>185</v>
      </c>
      <c r="F6" t="s">
        <v>186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  <c r="Y6" t="s">
        <v>25</v>
      </c>
      <c r="Z6" t="s">
        <v>26</v>
      </c>
      <c r="AA6" t="s">
        <v>27</v>
      </c>
      <c r="AB6" t="s">
        <v>28</v>
      </c>
      <c r="AC6" t="s">
        <v>29</v>
      </c>
      <c r="AD6" t="s">
        <v>30</v>
      </c>
      <c r="AE6" t="s">
        <v>31</v>
      </c>
      <c r="AF6" t="s">
        <v>32</v>
      </c>
      <c r="AG6" t="s">
        <v>33</v>
      </c>
      <c r="AH6" t="s">
        <v>34</v>
      </c>
      <c r="AI6" t="s">
        <v>35</v>
      </c>
      <c r="AJ6" t="s">
        <v>36</v>
      </c>
      <c r="AK6" t="s">
        <v>37</v>
      </c>
      <c r="AL6" t="s">
        <v>38</v>
      </c>
      <c r="AM6" t="s">
        <v>39</v>
      </c>
      <c r="AN6" t="s">
        <v>40</v>
      </c>
      <c r="AO6" t="s">
        <v>41</v>
      </c>
      <c r="AP6" t="s">
        <v>42</v>
      </c>
      <c r="AQ6" t="s">
        <v>43</v>
      </c>
      <c r="AR6" t="s">
        <v>44</v>
      </c>
      <c r="AS6" t="s">
        <v>45</v>
      </c>
      <c r="AT6" t="s">
        <v>46</v>
      </c>
      <c r="AU6" t="s">
        <v>47</v>
      </c>
      <c r="AV6" t="s">
        <v>48</v>
      </c>
      <c r="AW6" t="s">
        <v>49</v>
      </c>
      <c r="AX6" t="s">
        <v>50</v>
      </c>
      <c r="AY6" t="s">
        <v>51</v>
      </c>
    </row>
    <row r="7" spans="1:51" x14ac:dyDescent="0.25">
      <c r="A7">
        <v>1</v>
      </c>
      <c r="B7" t="s">
        <v>52</v>
      </c>
      <c r="C7" s="1">
        <v>46288</v>
      </c>
      <c r="D7" t="s">
        <v>187</v>
      </c>
      <c r="E7">
        <f>$G$5-C7</f>
        <v>9</v>
      </c>
      <c r="F7" t="str">
        <f>_xlfn.XLOOKUP(G7,'[1]Navegador de incidentes'!$C:$C,'[1]Navegador de incidentes'!$N:$N,"NO APARECE")</f>
        <v>NO APARECE</v>
      </c>
      <c r="G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>
        <v>0</v>
      </c>
      <c r="O7">
        <v>0</v>
      </c>
      <c r="P7">
        <v>1</v>
      </c>
      <c r="Q7" t="s">
        <v>59</v>
      </c>
      <c r="R7" t="s">
        <v>60</v>
      </c>
      <c r="S7" t="s">
        <v>61</v>
      </c>
      <c r="T7" t="s">
        <v>62</v>
      </c>
      <c r="U7" t="s">
        <v>63</v>
      </c>
      <c r="X7" t="s">
        <v>64</v>
      </c>
      <c r="Y7">
        <v>1</v>
      </c>
      <c r="Z7" t="s">
        <v>65</v>
      </c>
      <c r="AA7" t="s">
        <v>66</v>
      </c>
      <c r="AC7" t="s">
        <v>65</v>
      </c>
      <c r="AD7" t="s">
        <v>67</v>
      </c>
      <c r="AE7" t="s">
        <v>68</v>
      </c>
      <c r="AF7">
        <v>0</v>
      </c>
      <c r="AG7" t="s">
        <v>69</v>
      </c>
      <c r="AH7" t="s">
        <v>70</v>
      </c>
      <c r="AI7" t="s">
        <v>71</v>
      </c>
      <c r="AJ7">
        <v>34</v>
      </c>
      <c r="AK7">
        <v>0</v>
      </c>
      <c r="AL7" t="s">
        <v>72</v>
      </c>
      <c r="AM7">
        <v>1</v>
      </c>
      <c r="AN7">
        <v>0</v>
      </c>
      <c r="AO7" t="s">
        <v>73</v>
      </c>
      <c r="AP7">
        <v>0</v>
      </c>
      <c r="AQ7" t="s">
        <v>74</v>
      </c>
      <c r="AR7" t="s">
        <v>75</v>
      </c>
      <c r="AS7" t="s">
        <v>76</v>
      </c>
      <c r="AT7" t="s">
        <v>77</v>
      </c>
      <c r="AU7" t="s">
        <v>65</v>
      </c>
      <c r="AV7" t="s">
        <v>65</v>
      </c>
      <c r="AW7" t="s">
        <v>78</v>
      </c>
      <c r="AX7" t="s">
        <v>79</v>
      </c>
      <c r="AY7" t="s">
        <v>65</v>
      </c>
    </row>
    <row r="8" spans="1:51" x14ac:dyDescent="0.25">
      <c r="A8">
        <v>2</v>
      </c>
      <c r="B8" t="s">
        <v>52</v>
      </c>
      <c r="C8" s="1">
        <v>46289</v>
      </c>
      <c r="D8" t="s">
        <v>188</v>
      </c>
      <c r="E8">
        <f t="shared" ref="E8:E16" si="0">$G$5-C8</f>
        <v>8</v>
      </c>
      <c r="F8" t="str">
        <f>_xlfn.XLOOKUP(G8,'[1]Navegador de incidentes'!$C:$C,'[1]Navegador de incidentes'!$N:$N,"NO APARECE")</f>
        <v>NO APARECE</v>
      </c>
      <c r="G8" t="s">
        <v>80</v>
      </c>
      <c r="I8" t="s">
        <v>81</v>
      </c>
      <c r="J8" t="s">
        <v>55</v>
      </c>
      <c r="K8" t="s">
        <v>56</v>
      </c>
      <c r="L8" t="s">
        <v>82</v>
      </c>
      <c r="M8" t="s">
        <v>83</v>
      </c>
      <c r="N8">
        <v>0</v>
      </c>
      <c r="O8">
        <v>0</v>
      </c>
      <c r="P8">
        <v>1</v>
      </c>
      <c r="Q8" t="s">
        <v>59</v>
      </c>
      <c r="R8" t="s">
        <v>60</v>
      </c>
      <c r="S8" t="s">
        <v>61</v>
      </c>
      <c r="T8" t="s">
        <v>62</v>
      </c>
      <c r="X8" t="s">
        <v>84</v>
      </c>
      <c r="Y8">
        <v>1</v>
      </c>
      <c r="Z8" t="s">
        <v>65</v>
      </c>
      <c r="AA8" t="s">
        <v>66</v>
      </c>
      <c r="AC8" t="s">
        <v>65</v>
      </c>
      <c r="AD8" t="s">
        <v>67</v>
      </c>
      <c r="AE8" t="s">
        <v>85</v>
      </c>
      <c r="AF8">
        <v>0</v>
      </c>
      <c r="AG8" t="s">
        <v>86</v>
      </c>
      <c r="AH8" t="s">
        <v>87</v>
      </c>
      <c r="AI8" t="s">
        <v>88</v>
      </c>
      <c r="AJ8">
        <v>1</v>
      </c>
      <c r="AK8">
        <v>0</v>
      </c>
      <c r="AL8" t="s">
        <v>72</v>
      </c>
      <c r="AM8">
        <v>0</v>
      </c>
      <c r="AN8">
        <v>0</v>
      </c>
      <c r="AO8" t="s">
        <v>89</v>
      </c>
      <c r="AP8">
        <v>0</v>
      </c>
      <c r="AQ8" t="s">
        <v>74</v>
      </c>
      <c r="AS8" t="s">
        <v>90</v>
      </c>
      <c r="AT8" t="s">
        <v>91</v>
      </c>
      <c r="AU8" t="s">
        <v>65</v>
      </c>
      <c r="AV8" t="s">
        <v>65</v>
      </c>
      <c r="AW8" t="s">
        <v>78</v>
      </c>
      <c r="AX8" t="s">
        <v>79</v>
      </c>
      <c r="AY8" t="s">
        <v>65</v>
      </c>
    </row>
    <row r="9" spans="1:51" x14ac:dyDescent="0.25">
      <c r="A9">
        <v>3</v>
      </c>
      <c r="B9" t="s">
        <v>92</v>
      </c>
      <c r="C9" s="1">
        <v>46274</v>
      </c>
      <c r="D9" t="s">
        <v>189</v>
      </c>
      <c r="E9">
        <f t="shared" si="0"/>
        <v>23</v>
      </c>
      <c r="F9" t="str">
        <f>_xlfn.XLOOKUP(G9,'[1]Navegador de incidentes'!$C:$C,'[1]Navegador de incidentes'!$N:$N,"NO APARECE")</f>
        <v>NO APARECE</v>
      </c>
      <c r="G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98</v>
      </c>
      <c r="N9">
        <v>0</v>
      </c>
      <c r="O9">
        <v>0</v>
      </c>
      <c r="P9">
        <v>1</v>
      </c>
      <c r="Q9" t="s">
        <v>99</v>
      </c>
      <c r="R9" t="s">
        <v>60</v>
      </c>
      <c r="S9" t="s">
        <v>61</v>
      </c>
      <c r="T9" t="s">
        <v>100</v>
      </c>
      <c r="U9" t="s">
        <v>101</v>
      </c>
      <c r="W9" t="s">
        <v>95</v>
      </c>
      <c r="X9" t="s">
        <v>64</v>
      </c>
      <c r="Y9">
        <v>1</v>
      </c>
      <c r="Z9" t="s">
        <v>65</v>
      </c>
      <c r="AA9" t="s">
        <v>66</v>
      </c>
      <c r="AC9" t="s">
        <v>65</v>
      </c>
      <c r="AD9" t="s">
        <v>67</v>
      </c>
      <c r="AE9" t="s">
        <v>68</v>
      </c>
      <c r="AF9">
        <v>0</v>
      </c>
      <c r="AG9" t="s">
        <v>102</v>
      </c>
      <c r="AH9" t="s">
        <v>70</v>
      </c>
      <c r="AI9" t="s">
        <v>103</v>
      </c>
      <c r="AJ9">
        <v>5</v>
      </c>
      <c r="AK9">
        <v>0</v>
      </c>
      <c r="AL9" t="s">
        <v>72</v>
      </c>
      <c r="AM9">
        <v>1</v>
      </c>
      <c r="AN9">
        <v>0</v>
      </c>
      <c r="AO9" t="s">
        <v>104</v>
      </c>
      <c r="AP9">
        <v>0</v>
      </c>
      <c r="AQ9" t="s">
        <v>74</v>
      </c>
      <c r="AR9" t="s">
        <v>105</v>
      </c>
      <c r="AS9" t="s">
        <v>76</v>
      </c>
      <c r="AT9" t="s">
        <v>106</v>
      </c>
      <c r="AU9" t="s">
        <v>65</v>
      </c>
      <c r="AV9" t="s">
        <v>65</v>
      </c>
      <c r="AW9" t="s">
        <v>78</v>
      </c>
      <c r="AX9" t="s">
        <v>107</v>
      </c>
      <c r="AY9" t="s">
        <v>65</v>
      </c>
    </row>
    <row r="10" spans="1:51" x14ac:dyDescent="0.25">
      <c r="A10">
        <v>4</v>
      </c>
      <c r="B10" t="s">
        <v>52</v>
      </c>
      <c r="C10" s="1">
        <v>46286</v>
      </c>
      <c r="D10" t="s">
        <v>190</v>
      </c>
      <c r="E10">
        <f t="shared" si="0"/>
        <v>11</v>
      </c>
      <c r="F10" t="str">
        <f>_xlfn.XLOOKUP(G10,'[1]Navegador de incidentes'!$C:$C,'[1]Navegador de incidentes'!$N:$N,"NO APARECE")</f>
        <v>NO APARECE</v>
      </c>
      <c r="G10" t="s">
        <v>108</v>
      </c>
      <c r="I10" t="s">
        <v>109</v>
      </c>
      <c r="J10" t="s">
        <v>55</v>
      </c>
      <c r="K10" t="s">
        <v>56</v>
      </c>
      <c r="L10" t="s">
        <v>82</v>
      </c>
      <c r="M10" t="s">
        <v>110</v>
      </c>
      <c r="N10">
        <v>0</v>
      </c>
      <c r="O10">
        <v>0</v>
      </c>
      <c r="P10">
        <v>1</v>
      </c>
      <c r="Q10" t="s">
        <v>59</v>
      </c>
      <c r="R10" t="s">
        <v>60</v>
      </c>
      <c r="S10" t="s">
        <v>61</v>
      </c>
      <c r="T10" t="s">
        <v>62</v>
      </c>
      <c r="U10" t="s">
        <v>111</v>
      </c>
      <c r="X10" t="s">
        <v>64</v>
      </c>
      <c r="Y10">
        <v>1</v>
      </c>
      <c r="Z10" t="s">
        <v>65</v>
      </c>
      <c r="AA10" t="s">
        <v>66</v>
      </c>
      <c r="AC10" t="s">
        <v>65</v>
      </c>
      <c r="AD10" t="s">
        <v>67</v>
      </c>
      <c r="AE10" t="s">
        <v>68</v>
      </c>
      <c r="AF10">
        <v>0</v>
      </c>
      <c r="AG10" t="s">
        <v>69</v>
      </c>
      <c r="AH10" t="s">
        <v>112</v>
      </c>
      <c r="AI10" t="s">
        <v>113</v>
      </c>
      <c r="AJ10">
        <v>1</v>
      </c>
      <c r="AK10">
        <v>1</v>
      </c>
      <c r="AL10" t="s">
        <v>114</v>
      </c>
      <c r="AM10">
        <v>0</v>
      </c>
      <c r="AN10">
        <v>0</v>
      </c>
      <c r="AO10" t="s">
        <v>115</v>
      </c>
      <c r="AP10">
        <v>0</v>
      </c>
      <c r="AQ10" t="s">
        <v>74</v>
      </c>
      <c r="AR10" t="s">
        <v>75</v>
      </c>
      <c r="AS10" t="s">
        <v>90</v>
      </c>
      <c r="AT10" t="s">
        <v>116</v>
      </c>
      <c r="AU10" t="s">
        <v>65</v>
      </c>
      <c r="AV10" t="s">
        <v>65</v>
      </c>
      <c r="AW10" t="s">
        <v>78</v>
      </c>
      <c r="AX10" t="s">
        <v>79</v>
      </c>
      <c r="AY10" t="s">
        <v>65</v>
      </c>
    </row>
    <row r="11" spans="1:51" x14ac:dyDescent="0.25">
      <c r="A11">
        <v>5</v>
      </c>
      <c r="B11" t="s">
        <v>92</v>
      </c>
      <c r="C11" s="1">
        <v>46293</v>
      </c>
      <c r="D11" t="s">
        <v>191</v>
      </c>
      <c r="E11">
        <f t="shared" si="0"/>
        <v>4</v>
      </c>
      <c r="F11" t="str">
        <f>_xlfn.XLOOKUP(G11,'[1]Navegador de incidentes'!$C:$C,'[1]Navegador de incidentes'!$N:$N,"NO APARECE")</f>
        <v xml:space="preserve">EJECUCION </v>
      </c>
      <c r="G11" t="s">
        <v>117</v>
      </c>
      <c r="I11" t="s">
        <v>118</v>
      </c>
      <c r="J11" t="s">
        <v>119</v>
      </c>
      <c r="K11" t="s">
        <v>120</v>
      </c>
      <c r="L11" t="s">
        <v>97</v>
      </c>
      <c r="M11" t="s">
        <v>121</v>
      </c>
      <c r="N11">
        <v>54</v>
      </c>
      <c r="O11">
        <v>3</v>
      </c>
      <c r="P11">
        <v>4</v>
      </c>
      <c r="Q11" t="s">
        <v>99</v>
      </c>
      <c r="R11" t="s">
        <v>60</v>
      </c>
      <c r="S11" t="s">
        <v>61</v>
      </c>
      <c r="T11" t="s">
        <v>100</v>
      </c>
      <c r="U11" t="s">
        <v>118</v>
      </c>
      <c r="W11" t="s">
        <v>119</v>
      </c>
      <c r="X11" t="s">
        <v>64</v>
      </c>
      <c r="Y11">
        <v>1</v>
      </c>
      <c r="Z11" t="s">
        <v>65</v>
      </c>
      <c r="AA11" t="s">
        <v>66</v>
      </c>
      <c r="AC11" t="s">
        <v>122</v>
      </c>
      <c r="AD11" t="s">
        <v>67</v>
      </c>
      <c r="AE11" t="s">
        <v>123</v>
      </c>
      <c r="AF11">
        <v>0</v>
      </c>
      <c r="AG11" t="s">
        <v>124</v>
      </c>
      <c r="AH11" t="s">
        <v>125</v>
      </c>
      <c r="AI11" t="s">
        <v>126</v>
      </c>
      <c r="AJ11">
        <v>54</v>
      </c>
      <c r="AK11">
        <v>3</v>
      </c>
      <c r="AL11" t="s">
        <v>114</v>
      </c>
      <c r="AM11">
        <v>1</v>
      </c>
      <c r="AN11">
        <v>0</v>
      </c>
      <c r="AO11" t="s">
        <v>127</v>
      </c>
      <c r="AP11">
        <v>0</v>
      </c>
      <c r="AQ11" t="s">
        <v>74</v>
      </c>
      <c r="AS11" t="s">
        <v>76</v>
      </c>
      <c r="AT11" t="s">
        <v>128</v>
      </c>
      <c r="AU11" t="s">
        <v>65</v>
      </c>
      <c r="AV11" t="s">
        <v>65</v>
      </c>
      <c r="AW11" t="s">
        <v>78</v>
      </c>
      <c r="AX11" t="s">
        <v>79</v>
      </c>
      <c r="AY11" t="s">
        <v>65</v>
      </c>
    </row>
    <row r="12" spans="1:51" x14ac:dyDescent="0.25">
      <c r="A12">
        <v>6</v>
      </c>
      <c r="B12" t="s">
        <v>92</v>
      </c>
      <c r="C12" s="1">
        <v>46293</v>
      </c>
      <c r="D12" t="s">
        <v>192</v>
      </c>
      <c r="E12">
        <f t="shared" si="0"/>
        <v>4</v>
      </c>
      <c r="F12" t="str">
        <f>_xlfn.XLOOKUP(G12,'[1]Navegador de incidentes'!$C:$C,'[1]Navegador de incidentes'!$N:$N,"NO APARECE")</f>
        <v>EN PROGRAMACION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135</v>
      </c>
      <c r="N12">
        <v>0</v>
      </c>
      <c r="O12">
        <v>0</v>
      </c>
      <c r="P12">
        <v>1</v>
      </c>
      <c r="Q12" t="s">
        <v>99</v>
      </c>
      <c r="R12" t="s">
        <v>60</v>
      </c>
      <c r="S12" t="s">
        <v>61</v>
      </c>
      <c r="T12" t="s">
        <v>100</v>
      </c>
      <c r="W12" t="s">
        <v>132</v>
      </c>
      <c r="X12" t="s">
        <v>64</v>
      </c>
      <c r="Y12">
        <v>1</v>
      </c>
      <c r="Z12" t="s">
        <v>65</v>
      </c>
      <c r="AA12" t="s">
        <v>66</v>
      </c>
      <c r="AC12" t="s">
        <v>65</v>
      </c>
      <c r="AD12" t="s">
        <v>67</v>
      </c>
      <c r="AE12" t="s">
        <v>68</v>
      </c>
      <c r="AF12">
        <v>0</v>
      </c>
      <c r="AG12" t="s">
        <v>136</v>
      </c>
      <c r="AH12" t="s">
        <v>137</v>
      </c>
      <c r="AI12" t="s">
        <v>138</v>
      </c>
      <c r="AJ12">
        <v>1</v>
      </c>
      <c r="AK12">
        <v>0</v>
      </c>
      <c r="AL12" t="s">
        <v>72</v>
      </c>
      <c r="AM12">
        <v>0</v>
      </c>
      <c r="AN12">
        <v>0</v>
      </c>
      <c r="AO12" t="s">
        <v>139</v>
      </c>
      <c r="AP12">
        <v>0</v>
      </c>
      <c r="AQ12" t="s">
        <v>140</v>
      </c>
      <c r="AR12" t="s">
        <v>141</v>
      </c>
      <c r="AS12" t="s">
        <v>90</v>
      </c>
      <c r="AT12" t="s">
        <v>142</v>
      </c>
      <c r="AU12" t="s">
        <v>65</v>
      </c>
      <c r="AV12" t="s">
        <v>65</v>
      </c>
      <c r="AW12" t="s">
        <v>78</v>
      </c>
      <c r="AX12" t="s">
        <v>79</v>
      </c>
      <c r="AY12" t="s">
        <v>65</v>
      </c>
    </row>
    <row r="13" spans="1:51" x14ac:dyDescent="0.25">
      <c r="A13">
        <v>7</v>
      </c>
      <c r="B13" t="s">
        <v>52</v>
      </c>
      <c r="C13" s="1">
        <v>46294</v>
      </c>
      <c r="D13" t="s">
        <v>193</v>
      </c>
      <c r="E13">
        <f t="shared" si="0"/>
        <v>3</v>
      </c>
      <c r="F13" t="str">
        <f>_xlfn.XLOOKUP(G13,'[1]Navegador de incidentes'!$C:$C,'[1]Navegador de incidentes'!$N:$N,"NO APARECE")</f>
        <v>NO APARECE</v>
      </c>
      <c r="G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>
        <v>0</v>
      </c>
      <c r="O13">
        <v>0</v>
      </c>
      <c r="P13">
        <v>20</v>
      </c>
      <c r="Q13" t="s">
        <v>99</v>
      </c>
      <c r="R13" t="s">
        <v>60</v>
      </c>
      <c r="S13" t="s">
        <v>61</v>
      </c>
      <c r="T13" t="s">
        <v>100</v>
      </c>
      <c r="U13" t="s">
        <v>149</v>
      </c>
      <c r="W13" t="s">
        <v>145</v>
      </c>
      <c r="X13" t="s">
        <v>64</v>
      </c>
      <c r="Y13">
        <v>1</v>
      </c>
      <c r="Z13" t="s">
        <v>65</v>
      </c>
      <c r="AA13" t="s">
        <v>66</v>
      </c>
      <c r="AC13" t="s">
        <v>65</v>
      </c>
      <c r="AD13" t="s">
        <v>67</v>
      </c>
      <c r="AE13" t="s">
        <v>68</v>
      </c>
      <c r="AF13">
        <v>0</v>
      </c>
      <c r="AG13" t="s">
        <v>150</v>
      </c>
      <c r="AH13" t="s">
        <v>137</v>
      </c>
      <c r="AI13" t="s">
        <v>151</v>
      </c>
      <c r="AJ13">
        <v>26</v>
      </c>
      <c r="AK13">
        <v>0</v>
      </c>
      <c r="AL13" t="s">
        <v>72</v>
      </c>
      <c r="AM13">
        <v>1</v>
      </c>
      <c r="AN13">
        <v>0</v>
      </c>
      <c r="AO13" t="s">
        <v>152</v>
      </c>
      <c r="AP13">
        <v>0</v>
      </c>
      <c r="AQ13" t="s">
        <v>74</v>
      </c>
      <c r="AR13" t="s">
        <v>153</v>
      </c>
      <c r="AS13" t="s">
        <v>76</v>
      </c>
      <c r="AT13" t="s">
        <v>154</v>
      </c>
      <c r="AU13" t="s">
        <v>65</v>
      </c>
      <c r="AV13" t="s">
        <v>65</v>
      </c>
      <c r="AW13" t="s">
        <v>78</v>
      </c>
      <c r="AX13" t="s">
        <v>79</v>
      </c>
      <c r="AY13" t="s">
        <v>65</v>
      </c>
    </row>
    <row r="14" spans="1:51" x14ac:dyDescent="0.25">
      <c r="A14">
        <v>8</v>
      </c>
      <c r="B14" t="s">
        <v>92</v>
      </c>
      <c r="C14" s="1">
        <v>46295</v>
      </c>
      <c r="D14" t="s">
        <v>194</v>
      </c>
      <c r="E14">
        <f t="shared" si="0"/>
        <v>2</v>
      </c>
      <c r="F14" t="str">
        <f>_xlfn.XLOOKUP(G14,'[1]Navegador de incidentes'!$C:$C,'[1]Navegador de incidentes'!$N:$N,"NO APARECE")</f>
        <v>EN PROGRAMACION</v>
      </c>
      <c r="G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>
        <v>16</v>
      </c>
      <c r="O14">
        <v>0</v>
      </c>
      <c r="P14">
        <v>6</v>
      </c>
      <c r="Q14" t="s">
        <v>99</v>
      </c>
      <c r="R14" t="s">
        <v>60</v>
      </c>
      <c r="S14" t="s">
        <v>61</v>
      </c>
      <c r="T14" t="s">
        <v>100</v>
      </c>
      <c r="W14" t="s">
        <v>157</v>
      </c>
      <c r="X14" t="s">
        <v>64</v>
      </c>
      <c r="Y14">
        <v>1</v>
      </c>
      <c r="Z14" t="s">
        <v>65</v>
      </c>
      <c r="AA14" t="s">
        <v>66</v>
      </c>
      <c r="AC14" t="s">
        <v>122</v>
      </c>
      <c r="AD14" t="s">
        <v>67</v>
      </c>
      <c r="AE14" t="s">
        <v>123</v>
      </c>
      <c r="AF14">
        <v>0</v>
      </c>
      <c r="AG14" t="s">
        <v>124</v>
      </c>
      <c r="AH14" t="s">
        <v>125</v>
      </c>
      <c r="AI14" t="s">
        <v>161</v>
      </c>
      <c r="AJ14">
        <v>16</v>
      </c>
      <c r="AK14">
        <v>0</v>
      </c>
      <c r="AL14" t="s">
        <v>72</v>
      </c>
      <c r="AM14">
        <v>1</v>
      </c>
      <c r="AN14">
        <v>0</v>
      </c>
      <c r="AO14" t="s">
        <v>162</v>
      </c>
      <c r="AP14">
        <v>0</v>
      </c>
      <c r="AQ14" t="s">
        <v>74</v>
      </c>
      <c r="AS14" t="s">
        <v>76</v>
      </c>
      <c r="AT14" t="s">
        <v>163</v>
      </c>
      <c r="AU14" t="s">
        <v>65</v>
      </c>
      <c r="AV14" t="s">
        <v>65</v>
      </c>
      <c r="AW14" t="s">
        <v>78</v>
      </c>
      <c r="AX14" t="s">
        <v>79</v>
      </c>
      <c r="AY14" t="s">
        <v>65</v>
      </c>
    </row>
    <row r="15" spans="1:51" x14ac:dyDescent="0.25">
      <c r="A15">
        <v>9</v>
      </c>
      <c r="B15" t="s">
        <v>92</v>
      </c>
      <c r="C15" s="1">
        <v>46295</v>
      </c>
      <c r="D15" t="s">
        <v>195</v>
      </c>
      <c r="E15">
        <f t="shared" si="0"/>
        <v>2</v>
      </c>
      <c r="F15" t="str">
        <f>_xlfn.XLOOKUP(G15,'[1]Navegador de incidentes'!$C:$C,'[1]Navegador de incidentes'!$N:$N,"NO APARECE")</f>
        <v xml:space="preserve">EJECUCION </v>
      </c>
      <c r="G15" t="s">
        <v>164</v>
      </c>
      <c r="I15" t="s">
        <v>165</v>
      </c>
      <c r="J15" t="s">
        <v>166</v>
      </c>
      <c r="K15" t="s">
        <v>120</v>
      </c>
      <c r="L15" t="s">
        <v>159</v>
      </c>
      <c r="M15" t="s">
        <v>167</v>
      </c>
      <c r="N15">
        <v>354</v>
      </c>
      <c r="O15">
        <v>13</v>
      </c>
      <c r="P15">
        <v>10</v>
      </c>
      <c r="Q15" t="s">
        <v>99</v>
      </c>
      <c r="R15" t="s">
        <v>60</v>
      </c>
      <c r="S15" t="s">
        <v>61</v>
      </c>
      <c r="T15" t="s">
        <v>100</v>
      </c>
      <c r="U15" t="s">
        <v>168</v>
      </c>
      <c r="W15" t="s">
        <v>166</v>
      </c>
      <c r="X15" t="s">
        <v>64</v>
      </c>
      <c r="Y15">
        <v>1</v>
      </c>
      <c r="Z15" t="s">
        <v>65</v>
      </c>
      <c r="AA15" t="s">
        <v>66</v>
      </c>
      <c r="AC15" t="s">
        <v>122</v>
      </c>
      <c r="AD15" t="s">
        <v>67</v>
      </c>
      <c r="AE15" t="s">
        <v>123</v>
      </c>
      <c r="AF15">
        <v>0</v>
      </c>
      <c r="AG15" t="s">
        <v>169</v>
      </c>
      <c r="AH15" t="s">
        <v>170</v>
      </c>
      <c r="AI15" t="s">
        <v>171</v>
      </c>
      <c r="AJ15">
        <v>354</v>
      </c>
      <c r="AK15">
        <v>13</v>
      </c>
      <c r="AL15" t="s">
        <v>114</v>
      </c>
      <c r="AM15">
        <v>42</v>
      </c>
      <c r="AN15">
        <v>0</v>
      </c>
      <c r="AO15" t="s">
        <v>172</v>
      </c>
      <c r="AP15">
        <v>0</v>
      </c>
      <c r="AQ15" t="s">
        <v>74</v>
      </c>
      <c r="AS15" t="s">
        <v>173</v>
      </c>
      <c r="AT15" t="s">
        <v>174</v>
      </c>
      <c r="AU15" t="s">
        <v>65</v>
      </c>
      <c r="AV15" t="s">
        <v>65</v>
      </c>
      <c r="AW15" t="s">
        <v>78</v>
      </c>
      <c r="AX15" t="s">
        <v>79</v>
      </c>
      <c r="AY15" t="s">
        <v>65</v>
      </c>
    </row>
    <row r="16" spans="1:51" x14ac:dyDescent="0.25">
      <c r="A16">
        <v>10</v>
      </c>
      <c r="B16" t="s">
        <v>92</v>
      </c>
      <c r="C16" s="1">
        <v>46296</v>
      </c>
      <c r="D16" t="s">
        <v>196</v>
      </c>
      <c r="E16">
        <f t="shared" si="0"/>
        <v>1</v>
      </c>
      <c r="F16" t="str">
        <f>_xlfn.XLOOKUP(G16,'[1]Navegador de incidentes'!$C:$C,'[1]Navegador de incidentes'!$N:$N,"NO APARECE")</f>
        <v>EN PROGRAMACION</v>
      </c>
      <c r="G16" t="s">
        <v>175</v>
      </c>
      <c r="H16" t="s">
        <v>176</v>
      </c>
      <c r="I16" t="s">
        <v>177</v>
      </c>
      <c r="J16" t="s">
        <v>178</v>
      </c>
      <c r="K16" t="s">
        <v>179</v>
      </c>
      <c r="L16" t="s">
        <v>97</v>
      </c>
      <c r="M16" t="s">
        <v>148</v>
      </c>
      <c r="N16">
        <v>3</v>
      </c>
      <c r="O16">
        <v>0</v>
      </c>
      <c r="P16">
        <v>0</v>
      </c>
      <c r="Q16" t="s">
        <v>99</v>
      </c>
      <c r="R16" t="s">
        <v>60</v>
      </c>
      <c r="S16" t="s">
        <v>61</v>
      </c>
      <c r="T16" t="s">
        <v>100</v>
      </c>
      <c r="U16" t="s">
        <v>177</v>
      </c>
      <c r="W16" t="s">
        <v>178</v>
      </c>
      <c r="X16" t="s">
        <v>64</v>
      </c>
      <c r="Y16">
        <v>2</v>
      </c>
      <c r="Z16" t="s">
        <v>65</v>
      </c>
      <c r="AA16" t="s">
        <v>66</v>
      </c>
      <c r="AC16" t="s">
        <v>122</v>
      </c>
      <c r="AD16" t="s">
        <v>67</v>
      </c>
      <c r="AE16" t="s">
        <v>123</v>
      </c>
      <c r="AF16">
        <v>0</v>
      </c>
      <c r="AG16" t="s">
        <v>136</v>
      </c>
      <c r="AH16" t="s">
        <v>125</v>
      </c>
      <c r="AI16" t="s">
        <v>180</v>
      </c>
      <c r="AJ16">
        <v>3</v>
      </c>
      <c r="AK16">
        <v>0</v>
      </c>
      <c r="AL16" t="s">
        <v>72</v>
      </c>
      <c r="AM16">
        <v>1</v>
      </c>
      <c r="AN16">
        <v>0</v>
      </c>
      <c r="AO16" t="s">
        <v>181</v>
      </c>
      <c r="AP16">
        <v>0</v>
      </c>
      <c r="AQ16" t="s">
        <v>182</v>
      </c>
      <c r="AS16" t="s">
        <v>76</v>
      </c>
      <c r="AT16" t="s">
        <v>183</v>
      </c>
      <c r="AU16" t="s">
        <v>65</v>
      </c>
      <c r="AV16" t="s">
        <v>65</v>
      </c>
      <c r="AW16" t="s">
        <v>78</v>
      </c>
      <c r="AX16" t="s">
        <v>79</v>
      </c>
      <c r="AY1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BEFD-DB55-4009-A401-6EE34CC30913}">
  <dimension ref="B2:F9"/>
  <sheetViews>
    <sheetView tabSelected="1" workbookViewId="0">
      <selection activeCell="D7" sqref="D7"/>
    </sheetView>
  </sheetViews>
  <sheetFormatPr baseColWidth="10" defaultRowHeight="15" x14ac:dyDescent="0.25"/>
  <cols>
    <col min="2" max="2" width="17.5703125" bestFit="1" customWidth="1"/>
    <col min="3" max="3" width="15.42578125" bestFit="1" customWidth="1"/>
    <col min="4" max="4" width="18" bestFit="1" customWidth="1"/>
    <col min="5" max="5" width="22.42578125" bestFit="1" customWidth="1"/>
    <col min="6" max="6" width="12.5703125" bestFit="1" customWidth="1"/>
    <col min="7" max="7" width="12.28515625" bestFit="1" customWidth="1"/>
    <col min="8" max="8" width="12.5703125" bestFit="1" customWidth="1"/>
  </cols>
  <sheetData>
    <row r="2" spans="2:6" x14ac:dyDescent="0.25">
      <c r="B2" s="2" t="s">
        <v>201</v>
      </c>
      <c r="E2" s="2" t="s">
        <v>199</v>
      </c>
    </row>
    <row r="3" spans="2:6" x14ac:dyDescent="0.25">
      <c r="B3" s="2" t="s">
        <v>197</v>
      </c>
      <c r="C3" s="2" t="s">
        <v>7</v>
      </c>
      <c r="D3" s="2" t="s">
        <v>185</v>
      </c>
      <c r="E3" t="s">
        <v>200</v>
      </c>
      <c r="F3" t="s">
        <v>198</v>
      </c>
    </row>
    <row r="4" spans="2:6" x14ac:dyDescent="0.25">
      <c r="B4" s="3" t="s">
        <v>146</v>
      </c>
      <c r="C4" s="3" t="s">
        <v>143</v>
      </c>
      <c r="D4" s="3">
        <v>3</v>
      </c>
      <c r="E4" s="4">
        <v>1</v>
      </c>
      <c r="F4" s="4">
        <v>1</v>
      </c>
    </row>
    <row r="5" spans="2:6" x14ac:dyDescent="0.25">
      <c r="B5" s="3" t="s">
        <v>56</v>
      </c>
      <c r="C5" s="3" t="s">
        <v>53</v>
      </c>
      <c r="D5" s="3">
        <v>9</v>
      </c>
      <c r="E5" s="4">
        <v>1</v>
      </c>
      <c r="F5" s="4">
        <v>1</v>
      </c>
    </row>
    <row r="6" spans="2:6" x14ac:dyDescent="0.25">
      <c r="C6" s="3" t="s">
        <v>80</v>
      </c>
      <c r="D6" s="3">
        <v>8</v>
      </c>
      <c r="E6" s="4">
        <v>1</v>
      </c>
      <c r="F6" s="4">
        <v>1</v>
      </c>
    </row>
    <row r="7" spans="2:6" x14ac:dyDescent="0.25">
      <c r="C7" s="3" t="s">
        <v>108</v>
      </c>
      <c r="D7" s="3">
        <v>11</v>
      </c>
      <c r="E7" s="4">
        <v>1</v>
      </c>
      <c r="F7" s="4">
        <v>1</v>
      </c>
    </row>
    <row r="8" spans="2:6" x14ac:dyDescent="0.25">
      <c r="B8" s="3" t="s">
        <v>96</v>
      </c>
      <c r="C8" s="3" t="s">
        <v>93</v>
      </c>
      <c r="D8" s="3">
        <v>23</v>
      </c>
      <c r="E8" s="4">
        <v>1</v>
      </c>
      <c r="F8" s="4">
        <v>1</v>
      </c>
    </row>
    <row r="9" spans="2:6" x14ac:dyDescent="0.25">
      <c r="B9" s="3" t="s">
        <v>198</v>
      </c>
      <c r="E9" s="4">
        <v>5</v>
      </c>
      <c r="F9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Navegador de incidentes_02_10_2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Yeisson Causado</cp:lastModifiedBy>
  <dcterms:created xsi:type="dcterms:W3CDTF">2026-10-02T12:32:45Z</dcterms:created>
  <dcterms:modified xsi:type="dcterms:W3CDTF">2026-10-02T12:34:10Z</dcterms:modified>
</cp:coreProperties>
</file>